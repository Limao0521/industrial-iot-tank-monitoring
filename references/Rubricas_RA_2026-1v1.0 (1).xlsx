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66925"/>
  <mc:AlternateContent xmlns:mc="http://schemas.openxmlformats.org/markup-compatibility/2006">
    <mc:Choice Requires="x15">
      <x15ac:absPath xmlns:x15ac="http://schemas.microsoft.com/office/spreadsheetml/2010/11/ac" url="https://unisabanaedu-my.sharepoint.com/personal/juanarki_unisabana_edu_co/Documents/1. Teaching/1. Classes/9. 2025-2/2. IIoT/3. RA/"/>
    </mc:Choice>
  </mc:AlternateContent>
  <xr:revisionPtr revIDLastSave="484" documentId="14_{65DFCD40-636F-9D46-A4A0-68CDD44C9F51}" xr6:coauthVersionLast="47" xr6:coauthVersionMax="47" xr10:uidLastSave="{5846B6CD-CCD2-499D-87C2-82A056AA9B91}"/>
  <bookViews>
    <workbookView xWindow="20370" yWindow="-120" windowWidth="29040" windowHeight="15990" xr2:uid="{35CBD8FD-53F2-4E3B-A576-0D6C8AD47060}"/>
  </bookViews>
  <sheets>
    <sheet name="Team_1" sheetId="8"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8" l="1"/>
  <c r="K7" i="8"/>
  <c r="K19" i="8" l="1"/>
  <c r="K17" i="8"/>
  <c r="M17" i="8" s="1"/>
  <c r="K15" i="8"/>
  <c r="K13" i="8"/>
  <c r="M13" i="8" s="1"/>
  <c r="K11" i="8"/>
  <c r="K5" i="8"/>
  <c r="B21" i="8" l="1"/>
  <c r="L5" i="8"/>
  <c r="L17" i="8"/>
  <c r="L13" i="8"/>
  <c r="M5" i="8"/>
  <c r="M22" i="8" l="1"/>
</calcChain>
</file>

<file path=xl/sharedStrings.xml><?xml version="1.0" encoding="utf-8"?>
<sst xmlns="http://schemas.openxmlformats.org/spreadsheetml/2006/main" count="72" uniqueCount="67">
  <si>
    <t>ITEM</t>
  </si>
  <si>
    <t>%</t>
  </si>
  <si>
    <t>COMPETENCIA</t>
  </si>
  <si>
    <t>RPA</t>
  </si>
  <si>
    <t>INDICADOR</t>
  </si>
  <si>
    <t>RESULTADO POR INDICADOR (1 AL 4)</t>
  </si>
  <si>
    <t>RESULTADO POR INDICADOR (0 AL 5)</t>
  </si>
  <si>
    <t>RESULTADO POR COMPETENCIA (1 AL 4)</t>
  </si>
  <si>
    <t>RESULTADO POR COMPETENCIA (0 AL 5)</t>
  </si>
  <si>
    <t>COMENTARIOS</t>
  </si>
  <si>
    <t>NOVATO</t>
  </si>
  <si>
    <t>APRENDIZ</t>
  </si>
  <si>
    <t>BUENO</t>
  </si>
  <si>
    <t>EXPERTO</t>
  </si>
  <si>
    <t>Aprendizaje escaso</t>
  </si>
  <si>
    <t>Aprendizaje Parcial</t>
  </si>
  <si>
    <t>Aprendizaje esperado</t>
  </si>
  <si>
    <t>Aprendizaje ampliado</t>
  </si>
  <si>
    <t>Aplicar el diseño de ingeniería para producir soluciones que satisfagan las necesidades específicas teniendo en cuenta la salud pública, la seguridad y el bienestar, así como factores globales, culturales, sociales, ambientales y económicos</t>
  </si>
  <si>
    <t>Evaluar un diseño que dé solución a un problema o proyecto planteado, aplicando los conceptos de Internet Industrial de las Cosas y nuevas tendencias, validando el diseño a nivel de simulación y/o prototipado.</t>
  </si>
  <si>
    <t>Diseñar una automatización para el proceso planteado utilizando programación ladder, con una aproximación de proceso controlado por tiempo, y empleando Codesys, teniendo en cuenta los requerimientos mínimos solicitados.</t>
  </si>
  <si>
    <t xml:space="preserve">El diseño de la automatización no es pertinente para el proceso planteado. Diseño superficial. No considera los requermientos mínimos establecidos. </t>
  </si>
  <si>
    <t>El diseño de la automatización de proceso considera parcialmente los requerimientos mínimos establecidos. El HMI presenta algunas etapas del proceso y tiene imprecisiones. El código ladder está parcialmente documentado y desarrollado en Codesys.</t>
  </si>
  <si>
    <t>El diseño de la automatización de proceso responde satisfactoriamente todos los requerimientos mínimos establecidos. El HMI considera todas las etapas del proceso correctamente, apoyándose de cambios de colores, campos de texto, etiquetas, aparición y desaparición de objetos visuales. El código ladder está debidamente documentado y desarrollado en Codesys.</t>
  </si>
  <si>
    <t>Además de lo anterior, la propuesta de diseño de la automatización de proceso muestra una gran cantidad de ideas poco comunes e innovadoras, yendo más allá de los requerimientos mínimos solicitados. La interfaz, los switches, sensores, actuadores y demás objetos en el HMI son estéticamente armónicas. El diseño del HMI muestra profesionalismo.</t>
  </si>
  <si>
    <t>Validar a nivel de simulación la automatización de proceso diseñada con aproximación de proceso controlado por tiempo y utilizando Codesys, considerando los requerimientos mínimos solicitados.</t>
  </si>
  <si>
    <t>Presenta el funcionamiento de la automatización de proceso diseñado a nivel de simulación sin considerar los requerimientos mínimos  establecidos.  El HMI no conecta con la lógica ladder diseñada.</t>
  </si>
  <si>
    <t xml:space="preserve">Evalúa parcialmente el funcionamiento de la automatización de proceso diseñada a nivel de simulación, confrontándolo con algunos de los requerimientos establecidos. El HMI conecta con la lógica ladder diseñada e implementada en Codesys, pero presenta muchos errores e imprecisiones. Se realizan algunas transiciones de las etapas del proceso según lo diseñado. Algunos sensores  (indicadores LEDs), interruptores y actuadores (animaciones) realizan correctamente sus funciones. </t>
  </si>
  <si>
    <t>Evalúa satisfactoriamente el funcionamiento de la automatización de proceso diseñada a nivel de simulación, confrontándolo con todos los requerimientos mínimos establecidos. El HMI conecta correctamente con la lógica ladder diseñada e implementada en Codesys, realizando satisfactoriamente las transiciones de todas las etapas del proceso. Todas las partes de la automatización de proceso realizan correctamente sus funciones. Los sensores  (indicadores LEDs), actuadores (animaciones) e interruptores de inicio y parada realizan correctamente sus funciones.</t>
  </si>
  <si>
    <t>Además de lo anterior, el HMI muestra todas las etapas del proceso con destreza y precisión, contribuyendo a seguir fácilmente y con claridad el proceso automatizado.</t>
  </si>
  <si>
    <t>Diseñar una automatización para el proceso planteado utilizando programación ladder, con una aproximación de proceso controlado por sensores, y empleando OpenPLC, teniendo en cuenta los requerimientos mínimos solicitados.</t>
  </si>
  <si>
    <t>El diseño de la automatización no es pertinente para el proceso planteado. Diseño superficial. No considera los requermientos mínimos establecidos. No utiliza OpenPLC</t>
  </si>
  <si>
    <t>El diseño de la automatización de proceso considera parcialmente los requerimientos mínimos establecidos. El prototipo funcional presenta algunas etapas del proceso y tiene imprecisiones. El código ladder está parcialmente documentado y desarrollado en OpenPLC.</t>
  </si>
  <si>
    <t>El diseño de la automatización de proceso responde satisfactoriamente todos los requerimientos mínimos establecidos. El prototipo funcional considera todas las etapas del proceso correctamente. El código ladder está debidamente documentado y desarrollado en OpenPLC.</t>
  </si>
  <si>
    <t>Además de lo anterior, la propuesta de diseño de la automatización de proceso muestra una gran cantidad de ideas poco comunes e innovadoras, yendo más allá de los requerimientos mínimos solicitados. El diseño del prototipo funcional muestra profesionalismo.</t>
  </si>
  <si>
    <t>Validar a nivel de prototipado la automatización de proceso diseñada con aproximación de proceso controlado por sensores y utilizando OpenPLC, considerando los requerimientos mínimos solicitados.</t>
  </si>
  <si>
    <t>Presenta el funcionamiento de la automatización de proceso diseñado a nivel de prototipado sin considerar los requerimientos mínimos  establecidos. El prototipo funcional (hardware) no conecta con la lógica implementada en OpenPLC (ladder).</t>
  </si>
  <si>
    <t xml:space="preserve">Evalúa parcialmente el funcionamiento de la automatización de proceso diseñada a nivel de prototipado, confrontándolo con algunos de los requerimientos establecidos. El prototipo funcional (hardware) conecta con la lógica ladder diseñada e implementada en OpenPLC (ladder), pero presenta muchos errores e imprecisiones.  Se realizan algunas transiciones de las etapas del proceso según lo diseñado. Algunas partes de la automatización de proceso realizan correctamente sus funciones. Utiliza sensores, interruptores y actuadores de prototipado rápido. </t>
  </si>
  <si>
    <t>Evalúa satisfactoriamente el funcionamiento de la automatización de proceso diseñada a nivel de prototipado, confrontándolo con todos los requerimientos mínimos establecidos. El prototipo funcional (hardware) conecta correctamente con la lógica diseñada e implementada en OpenPLC (ladder), realizando satisfactoriamente las transiciones de todas las etapas del proceso. Todas las partes de la automatización de proceso realizan correctamente sus funciones. Utiliza sensores, interruptores y actuadores de prototipado rápido. Todos los sensores, actuadores e interruptores de inicio y parada realizan correctamente sus funciones. La automatización realiza correctamente el conteo del número de lotes requeridos.</t>
  </si>
  <si>
    <t>Además de lo anterior, el prototipo funcional muestra todas las etapas del proceso con destreza y precisión, contribuyendo a seguir fácilmente y con claridad el proceso controlado y automatizado.</t>
  </si>
  <si>
    <t>Comunicarse efectivamente con un rango de audiencias (*)</t>
  </si>
  <si>
    <t>Presentar de forma oral o escrita sus ideas, diseños y/o solución de problemas; refutando o justificando su posición, haciendo un adecuado uso del lenguaje ingenieril y expresión en una segunda lengua (inglés).</t>
  </si>
  <si>
    <t>Utilizar habilidades de comunicación oral y ayudas audivisuales, para presentar los resultados del proyecto a un público.</t>
  </si>
  <si>
    <t>No cuenta con habilidades mínimas de comunicación para expresar sus resultados ante un público. No hay una adecuada pertinencia, claridad y adecuada presentación de tablas, gráficos, cuadros e imágenes en el trabajo. No posee un lenguaje técnico adecuado, restándole impacto a los resultados de la misma. No posee las habilidades necesarias para tener un buen dominio del auditorio.</t>
  </si>
  <si>
    <t>Demuestra que conoce habilidades de comunicación básicas para presentar los resultados del proyecto. Sin embargo, no presenta buen dominio de éstas. Presenta algunas figuras y tablas de manera desordenada, sin un uso racional de las mismas. Al momento de exponer los resultados, usa ocasionalmente un lenguaje técnico apropiado y tiene un dominio del auditorio parcial. En varias ocasiones pierde la atención de este. Responde parcialmente a preguntas formuladas por el jurado.</t>
  </si>
  <si>
    <t>Demuestra habilidades de comunicación para presentar su solución de forma clara y concisa. Presenta una buena pertinencia, claridad y adecuada presentación de tablas, gráficos, cuadros e imágenes si las hubiera. Tiene un buen dominio de lenguaje técnico al momento de presentar su solución, generando credibilidad el auditorio al que presenta. Mantiene constante la atención del auditorio al momento de presentar sus resultados, debido a que lo hace de forma clara y concisa. Lo hace usando herramientas adecuadas. Responde correctamente todas las preguntas formuladas por el jurado.</t>
  </si>
  <si>
    <t xml:space="preserve">Además de lo anterior, las habilidades que demuestra al momento de exponer sus resultados son de alto nivel y para todo tipo de público. Las tablas y figuras son estéticamente armónicas, combinan perfectamente los resultados, se hace un uso racional de ellas y contribuyen a dilucidar los resultados. Muestra un equilibrio adecuado entre lenguaje técnico y común para hacer que la presentación sea amena y se pueda seguir fácilmente. Capta de forma rápida la atención del público y la mantiene de principio a fin. Adicionalmente, demuestra habilidades para manejar diferentes tipos de públicos al momento de exponer su solución. </t>
  </si>
  <si>
    <t>Apropiar nuevo conocimiento que involucre conceptos de Internet Industrial de las Cosas y nuevas tendencias para la solución de problemas de ingeniería.</t>
  </si>
  <si>
    <t>Utilizar habilidades de comunicación escrita para presentar un documento escrito con los resultados del proyecto, haciendo un adecuado uso del lenguaje ingenieril y considerando los requerimientos establecidos en el enunciado.</t>
  </si>
  <si>
    <t>Presenta un documento escrito incompleto, sin coherencia y claridad en su contenido; sin considerar los requerimientos establecidos.</t>
  </si>
  <si>
    <t>Presenta un documento escrito  parcialmente completo donde se evidencia parcialmente coherencia y claridad en su contenido. Considera algunos de los requerimientos establecidos.</t>
  </si>
  <si>
    <t>Presenta un documento escrito en formato de WiKi donde se evidencie coherencia y claridad en su contenido. Considera todos los requerimientos establecidos. Las tablas y figuras son estéticamente armónicas, se hace un uso racional de ellas. La presentación de citas y referencias bibliográficas es la adecuada según normas IEEE, en su mayoría son de los últimos 5 años.</t>
  </si>
  <si>
    <t>Además de lo anterior, presenta un documento bien escrito (sin errores ortográficos), es fácil de leer y la narrativa es interesante.</t>
  </si>
  <si>
    <t xml:space="preserve">Adquirir y aplicar nuevo conocimiento según sea necesario, utilizando estrategias apropiadas de aprendizaje  </t>
  </si>
  <si>
    <t>Apropiar nuevo conocimiento para la solución de problemas de ingeniería que involucre conceptos de Internet Industrial de las Cosas.</t>
  </si>
  <si>
    <t>Recopila nuevo conocimiento para la solución de problemas que involucre conceptos de Internet Industrial de las Cosas.</t>
  </si>
  <si>
    <t>Presenta nuevo conocimiento de forma ordenada para la solución de problemas que involucre conceptos de Internet Industrial de las Cosas.</t>
  </si>
  <si>
    <t>Apropia nuevo conocimiento para la solución de problemas que involucre conceptos de Internet Industrial de las Cosas.</t>
  </si>
  <si>
    <t>Apropia satisfactoriamente nuevo conocimiento para la solución de problemas que involucre conceptos de Internet Industrial de las Cosas.</t>
  </si>
  <si>
    <t>Contribuir al desarrollo de las actividades propias del rol asignado dentro del equipo de trabajo empleando un acta de reunión y evaluación.</t>
  </si>
  <si>
    <t>Realiza algunas actividades dentro del equipo de trabajo.</t>
  </si>
  <si>
    <t>Realiza actividades propias del rol asignado dentro del equipo de trabajo.</t>
  </si>
  <si>
    <t>Contribuye satisfactoriamente al desarrollo de las actividades propias del rol asignado dentro del equipo de trabajo.</t>
  </si>
  <si>
    <t>Contribuye excepcionalmente al desarrollo de las actividades propias del rol asignado dentro del equipo de trabajo empleando un acta de reunión y evaluación.</t>
  </si>
  <si>
    <t>(*) Basado en RÚBRICA FINAL PARA ANTEPROYECTO-PROFUNDIZACIÓN-INVESTIGACIÓN MAESTRÍA EN DISEÑO Y GESTIÓN DE PROCESOS (MDGP)</t>
  </si>
  <si>
    <t>RESULTADO FINAL (NOTA)</t>
  </si>
  <si>
    <t>Aprendizaje nulo (0%) - Si no hay entregable para un indicador en particular, la calificación será igual a cero.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</si>
</sst>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family val="2"/>
      <scheme val="minor"/>
    </font>
    <font>
      <b/>
      <sz val="10"/>
      <color theme="1"/>
      <name val="Calibri"/>
      <family val="2"/>
      <scheme val="minor"/>
    </font>
    <font>
      <b/>
      <sz val="10"/>
      <color rgb="FF000000"/>
      <name val="Calibri"/>
      <family val="2"/>
      <scheme val="minor"/>
    </font>
    <font>
      <sz val="10"/>
      <color theme="1"/>
      <name val="Calibri"/>
      <family val="2"/>
      <scheme val="minor"/>
    </font>
    <font>
      <sz val="8"/>
      <color theme="1"/>
      <name val="Calibri"/>
      <family val="2"/>
      <scheme val="minor"/>
    </font>
    <font>
      <b/>
      <sz val="16"/>
      <color theme="1"/>
      <name val="Calibri"/>
      <family val="2"/>
      <scheme val="minor"/>
    </font>
    <font>
      <b/>
      <sz val="28"/>
      <color theme="1"/>
      <name val="Calibri"/>
      <family val="2"/>
      <scheme val="minor"/>
    </font>
    <font>
      <b/>
      <sz val="20"/>
      <color theme="1"/>
      <name val="Calibri"/>
      <family val="2"/>
      <scheme val="minor"/>
    </font>
    <font>
      <sz val="14"/>
      <color theme="1"/>
      <name val="Calibri"/>
      <family val="2"/>
      <scheme val="minor"/>
    </font>
    <font>
      <i/>
      <sz val="10"/>
      <color rgb="FFFF0000"/>
      <name val="Calibri"/>
      <family val="2"/>
      <scheme val="minor"/>
    </font>
  </fonts>
  <fills count="7">
    <fill>
      <patternFill patternType="none"/>
    </fill>
    <fill>
      <patternFill patternType="gray125"/>
    </fill>
    <fill>
      <patternFill patternType="solid">
        <fgColor rgb="FFF2F2F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C0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72">
    <xf numFmtId="0" fontId="0" fillId="0" borderId="0" xfId="0"/>
    <xf numFmtId="0" fontId="1" fillId="2" borderId="1" xfId="0"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0" borderId="0" xfId="0" applyFont="1" applyAlignment="1">
      <alignment vertical="center"/>
    </xf>
    <xf numFmtId="0" fontId="4" fillId="0" borderId="0" xfId="0" applyFont="1" applyAlignment="1">
      <alignment vertical="center"/>
    </xf>
    <xf numFmtId="9" fontId="3" fillId="0" borderId="0" xfId="0" applyNumberFormat="1" applyFont="1" applyAlignment="1">
      <alignment vertical="center"/>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6" borderId="0" xfId="0" applyFont="1" applyFill="1" applyAlignment="1">
      <alignment horizontal="center" vertical="center" wrapText="1"/>
    </xf>
    <xf numFmtId="0" fontId="5" fillId="6" borderId="14"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9" fillId="0" borderId="0" xfId="0" applyFont="1" applyAlignment="1">
      <alignment vertical="center"/>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4" borderId="1" xfId="0" applyFont="1" applyFill="1" applyBorder="1" applyAlignment="1">
      <alignment horizontal="center" vertical="center" wrapText="1"/>
    </xf>
    <xf numFmtId="9" fontId="3" fillId="4" borderId="1" xfId="0" applyNumberFormat="1" applyFont="1" applyFill="1" applyBorder="1" applyAlignment="1">
      <alignment horizontal="center" vertical="center" wrapText="1"/>
    </xf>
    <xf numFmtId="0" fontId="3" fillId="5" borderId="2" xfId="0" applyFont="1" applyFill="1" applyBorder="1" applyAlignment="1">
      <alignment horizontal="center" vertical="center"/>
    </xf>
    <xf numFmtId="0" fontId="3" fillId="5" borderId="4" xfId="0" applyFont="1" applyFill="1" applyBorder="1" applyAlignment="1">
      <alignment horizontal="center" vertical="center"/>
    </xf>
    <xf numFmtId="9" fontId="3" fillId="5" borderId="7" xfId="0" applyNumberFormat="1" applyFont="1" applyFill="1" applyBorder="1" applyAlignment="1">
      <alignment horizontal="center" vertical="center" wrapText="1"/>
    </xf>
    <xf numFmtId="9" fontId="3" fillId="5" borderId="6"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3" borderId="1" xfId="0" applyFont="1" applyFill="1" applyBorder="1" applyAlignment="1">
      <alignment horizontal="center" vertical="center" wrapText="1"/>
    </xf>
    <xf numFmtId="9" fontId="3" fillId="3" borderId="5"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5" fillId="6" borderId="8" xfId="0" applyFont="1" applyFill="1" applyBorder="1" applyAlignment="1">
      <alignment horizontal="center" vertical="center" wrapText="1"/>
    </xf>
    <xf numFmtId="0" fontId="5" fillId="6" borderId="11" xfId="0" applyFont="1" applyFill="1" applyBorder="1" applyAlignment="1">
      <alignment horizontal="center" vertical="center" wrapText="1"/>
    </xf>
    <xf numFmtId="0" fontId="5" fillId="6" borderId="13" xfId="0" applyFont="1" applyFill="1" applyBorder="1" applyAlignment="1">
      <alignment horizontal="center" vertical="center" wrapText="1"/>
    </xf>
    <xf numFmtId="164" fontId="8" fillId="3" borderId="2" xfId="0" applyNumberFormat="1" applyFont="1" applyFill="1" applyBorder="1" applyAlignment="1">
      <alignment horizontal="center" vertical="center" wrapText="1"/>
    </xf>
    <xf numFmtId="164" fontId="8" fillId="3" borderId="3" xfId="0" applyNumberFormat="1" applyFont="1" applyFill="1" applyBorder="1" applyAlignment="1">
      <alignment horizontal="center" vertical="center" wrapText="1"/>
    </xf>
    <xf numFmtId="164" fontId="8" fillId="5" borderId="2" xfId="0" applyNumberFormat="1" applyFont="1" applyFill="1" applyBorder="1" applyAlignment="1">
      <alignment horizontal="center" vertical="center"/>
    </xf>
    <xf numFmtId="164" fontId="8" fillId="5" borderId="3" xfId="0" applyNumberFormat="1" applyFont="1" applyFill="1" applyBorder="1" applyAlignment="1">
      <alignment horizontal="center" vertical="center"/>
    </xf>
    <xf numFmtId="164" fontId="8" fillId="4" borderId="2" xfId="0" applyNumberFormat="1" applyFont="1" applyFill="1" applyBorder="1" applyAlignment="1">
      <alignment horizontal="center" vertical="center" wrapText="1"/>
    </xf>
    <xf numFmtId="164" fontId="8" fillId="4" borderId="3" xfId="0" applyNumberFormat="1" applyFont="1" applyFill="1" applyBorder="1" applyAlignment="1">
      <alignment horizontal="center" vertical="center" wrapText="1"/>
    </xf>
    <xf numFmtId="164" fontId="8" fillId="4" borderId="1" xfId="0" applyNumberFormat="1" applyFont="1" applyFill="1" applyBorder="1" applyAlignment="1">
      <alignment horizontal="center" vertical="center" wrapText="1"/>
    </xf>
    <xf numFmtId="164" fontId="6" fillId="6" borderId="9" xfId="0" applyNumberFormat="1" applyFont="1" applyFill="1" applyBorder="1" applyAlignment="1">
      <alignment horizontal="center" vertical="center"/>
    </xf>
    <xf numFmtId="164" fontId="6" fillId="6" borderId="10" xfId="0" applyNumberFormat="1" applyFont="1" applyFill="1" applyBorder="1" applyAlignment="1">
      <alignment horizontal="center" vertical="center"/>
    </xf>
    <xf numFmtId="164" fontId="6" fillId="6" borderId="0" xfId="0" applyNumberFormat="1" applyFont="1" applyFill="1" applyAlignment="1">
      <alignment horizontal="center" vertical="center"/>
    </xf>
    <xf numFmtId="164" fontId="6" fillId="6" borderId="12" xfId="0" applyNumberFormat="1" applyFont="1" applyFill="1" applyBorder="1" applyAlignment="1">
      <alignment horizontal="center" vertical="center"/>
    </xf>
    <xf numFmtId="164" fontId="6" fillId="6" borderId="14" xfId="0" applyNumberFormat="1" applyFont="1" applyFill="1" applyBorder="1" applyAlignment="1">
      <alignment horizontal="center" vertical="center"/>
    </xf>
    <xf numFmtId="164" fontId="6" fillId="6" borderId="15" xfId="0" applyNumberFormat="1" applyFont="1" applyFill="1" applyBorder="1" applyAlignment="1">
      <alignment horizontal="center" vertical="center"/>
    </xf>
    <xf numFmtId="164" fontId="7" fillId="3" borderId="2" xfId="0" applyNumberFormat="1" applyFont="1" applyFill="1" applyBorder="1" applyAlignment="1">
      <alignment horizontal="center" vertical="center" wrapText="1"/>
    </xf>
    <xf numFmtId="164" fontId="7" fillId="3" borderId="4" xfId="0" applyNumberFormat="1" applyFont="1" applyFill="1" applyBorder="1" applyAlignment="1">
      <alignment horizontal="center" vertical="center" wrapText="1"/>
    </xf>
    <xf numFmtId="164" fontId="7" fillId="3" borderId="3" xfId="0" applyNumberFormat="1" applyFont="1" applyFill="1" applyBorder="1" applyAlignment="1">
      <alignment horizontal="center" vertical="center" wrapText="1"/>
    </xf>
    <xf numFmtId="164" fontId="7" fillId="5" borderId="2" xfId="0" applyNumberFormat="1" applyFont="1" applyFill="1" applyBorder="1" applyAlignment="1">
      <alignment horizontal="center" vertical="center" wrapText="1"/>
    </xf>
    <xf numFmtId="164" fontId="7" fillId="5" borderId="4" xfId="0" applyNumberFormat="1" applyFont="1" applyFill="1" applyBorder="1" applyAlignment="1">
      <alignment horizontal="center" vertical="center" wrapText="1"/>
    </xf>
    <xf numFmtId="164" fontId="7" fillId="4" borderId="1"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6C819-667D-488F-94FE-AC1191B8C033}">
  <dimension ref="A1:N26"/>
  <sheetViews>
    <sheetView tabSelected="1" topLeftCell="D9" zoomScaleNormal="100" workbookViewId="0">
      <selection activeCell="F7" sqref="F7"/>
    </sheetView>
  </sheetViews>
  <sheetFormatPr defaultColWidth="11.42578125" defaultRowHeight="12.75"/>
  <cols>
    <col min="1" max="1" width="4.42578125" style="6" bestFit="1" customWidth="1"/>
    <col min="2" max="2" width="5.28515625" style="6" bestFit="1" customWidth="1"/>
    <col min="3" max="3" width="32.7109375" style="6" customWidth="1"/>
    <col min="4" max="4" width="37.140625" style="6" customWidth="1"/>
    <col min="5" max="5" width="33.7109375" style="6" customWidth="1"/>
    <col min="6" max="6" width="34.42578125" style="6" bestFit="1" customWidth="1"/>
    <col min="7" max="7" width="32.7109375" style="6" customWidth="1"/>
    <col min="8" max="8" width="40.28515625" style="6" customWidth="1"/>
    <col min="9" max="9" width="33.85546875" style="6" customWidth="1"/>
    <col min="10" max="10" width="17" style="6" hidden="1" customWidth="1"/>
    <col min="11" max="11" width="18.7109375" style="6" customWidth="1"/>
    <col min="12" max="12" width="0.42578125" style="6" hidden="1" customWidth="1"/>
    <col min="13" max="13" width="19.42578125" style="6" customWidth="1"/>
    <col min="14" max="14" width="34.140625" style="6" customWidth="1"/>
    <col min="15" max="16384" width="11.42578125" style="6"/>
  </cols>
  <sheetData>
    <row r="1" spans="1:14" ht="15" customHeight="1">
      <c r="A1" s="19" t="s">
        <v>0</v>
      </c>
      <c r="B1" s="21" t="s">
        <v>1</v>
      </c>
      <c r="C1" s="36" t="s">
        <v>2</v>
      </c>
      <c r="D1" s="36" t="s">
        <v>3</v>
      </c>
      <c r="E1" s="36" t="s">
        <v>4</v>
      </c>
      <c r="F1" s="1">
        <v>1</v>
      </c>
      <c r="G1" s="1">
        <v>2</v>
      </c>
      <c r="H1" s="1">
        <v>3</v>
      </c>
      <c r="I1" s="1">
        <v>4</v>
      </c>
      <c r="J1" s="36" t="s">
        <v>5</v>
      </c>
      <c r="K1" s="36" t="s">
        <v>6</v>
      </c>
      <c r="L1" s="36" t="s">
        <v>7</v>
      </c>
      <c r="M1" s="36" t="s">
        <v>8</v>
      </c>
      <c r="N1" s="36" t="s">
        <v>9</v>
      </c>
    </row>
    <row r="2" spans="1:14" ht="30" customHeight="1">
      <c r="A2" s="19"/>
      <c r="B2" s="21"/>
      <c r="C2" s="36"/>
      <c r="D2" s="36"/>
      <c r="E2" s="36"/>
      <c r="F2" s="1" t="s">
        <v>10</v>
      </c>
      <c r="G2" s="1" t="s">
        <v>11</v>
      </c>
      <c r="H2" s="1" t="s">
        <v>12</v>
      </c>
      <c r="I2" s="1" t="s">
        <v>13</v>
      </c>
      <c r="J2" s="36"/>
      <c r="K2" s="36"/>
      <c r="L2" s="36"/>
      <c r="M2" s="36"/>
      <c r="N2" s="36"/>
    </row>
    <row r="3" spans="1:14">
      <c r="A3" s="19"/>
      <c r="B3" s="21"/>
      <c r="C3" s="36"/>
      <c r="D3" s="36"/>
      <c r="E3" s="36"/>
      <c r="F3" s="1" t="s">
        <v>14</v>
      </c>
      <c r="G3" s="1" t="s">
        <v>15</v>
      </c>
      <c r="H3" s="1" t="s">
        <v>16</v>
      </c>
      <c r="I3" s="1" t="s">
        <v>17</v>
      </c>
      <c r="J3" s="36"/>
      <c r="K3" s="36"/>
      <c r="L3" s="36"/>
      <c r="M3" s="36"/>
      <c r="N3" s="36"/>
    </row>
    <row r="4" spans="1:14">
      <c r="A4" s="20"/>
      <c r="B4" s="22"/>
      <c r="C4" s="36"/>
      <c r="D4" s="36"/>
      <c r="E4" s="36"/>
      <c r="F4" s="2">
        <v>0.2</v>
      </c>
      <c r="G4" s="2">
        <v>0.5</v>
      </c>
      <c r="H4" s="2">
        <v>0.8</v>
      </c>
      <c r="I4" s="2">
        <v>1</v>
      </c>
      <c r="J4" s="36"/>
      <c r="K4" s="36"/>
      <c r="L4" s="36"/>
      <c r="M4" s="36"/>
      <c r="N4" s="36"/>
    </row>
    <row r="5" spans="1:14" ht="127.5">
      <c r="A5" s="34">
        <v>1</v>
      </c>
      <c r="B5" s="35">
        <v>0.6</v>
      </c>
      <c r="C5" s="34" t="s">
        <v>18</v>
      </c>
      <c r="D5" s="34" t="s">
        <v>19</v>
      </c>
      <c r="E5" s="23" t="s">
        <v>20</v>
      </c>
      <c r="F5" s="3" t="s">
        <v>21</v>
      </c>
      <c r="G5" s="3" t="s">
        <v>22</v>
      </c>
      <c r="H5" s="3" t="s">
        <v>23</v>
      </c>
      <c r="I5" s="3" t="s">
        <v>24</v>
      </c>
      <c r="J5" s="23"/>
      <c r="K5" s="40">
        <f>+SUMPRODUCT(F6:I6,$F$4:$I$4)*5</f>
        <v>0</v>
      </c>
      <c r="L5" s="62" t="e">
        <f>+AVERAGE(J5:J12)</f>
        <v>#DIV/0!</v>
      </c>
      <c r="M5" s="53">
        <f>+AVERAGE(K5:K12)</f>
        <v>0</v>
      </c>
      <c r="N5" s="68"/>
    </row>
    <row r="6" spans="1:14">
      <c r="A6" s="34"/>
      <c r="B6" s="35"/>
      <c r="C6" s="34"/>
      <c r="D6" s="34"/>
      <c r="E6" s="24"/>
      <c r="F6" s="3"/>
      <c r="G6" s="3"/>
      <c r="H6" s="3"/>
      <c r="I6" s="3"/>
      <c r="J6" s="24"/>
      <c r="K6" s="41"/>
      <c r="L6" s="63"/>
      <c r="M6" s="54"/>
      <c r="N6" s="69"/>
    </row>
    <row r="7" spans="1:14" ht="178.5">
      <c r="A7" s="34"/>
      <c r="B7" s="35"/>
      <c r="C7" s="34"/>
      <c r="D7" s="34" t="s">
        <v>19</v>
      </c>
      <c r="E7" s="23" t="s">
        <v>25</v>
      </c>
      <c r="F7" s="3" t="s">
        <v>26</v>
      </c>
      <c r="G7" s="10" t="s">
        <v>27</v>
      </c>
      <c r="H7" s="10" t="s">
        <v>28</v>
      </c>
      <c r="I7" s="3" t="s">
        <v>29</v>
      </c>
      <c r="J7" s="14"/>
      <c r="K7" s="40">
        <f>+SUMPRODUCT(F8:I8,$F$4:$I$4)*5</f>
        <v>0</v>
      </c>
      <c r="L7" s="63"/>
      <c r="M7" s="54"/>
      <c r="N7" s="15"/>
    </row>
    <row r="8" spans="1:14">
      <c r="A8" s="34"/>
      <c r="B8" s="35"/>
      <c r="C8" s="34"/>
      <c r="D8" s="34"/>
      <c r="E8" s="24"/>
      <c r="F8" s="3"/>
      <c r="G8" s="3"/>
      <c r="H8" s="3"/>
      <c r="I8" s="3"/>
      <c r="J8" s="14"/>
      <c r="K8" s="41"/>
      <c r="L8" s="63"/>
      <c r="M8" s="54"/>
      <c r="N8" s="15"/>
    </row>
    <row r="9" spans="1:14" ht="102">
      <c r="A9" s="34"/>
      <c r="B9" s="35"/>
      <c r="C9" s="34"/>
      <c r="D9" s="34" t="s">
        <v>19</v>
      </c>
      <c r="E9" s="23" t="s">
        <v>30</v>
      </c>
      <c r="F9" s="10" t="s">
        <v>31</v>
      </c>
      <c r="G9" s="10" t="s">
        <v>32</v>
      </c>
      <c r="H9" s="10" t="s">
        <v>33</v>
      </c>
      <c r="I9" s="10" t="s">
        <v>34</v>
      </c>
      <c r="J9" s="14"/>
      <c r="K9" s="40">
        <f>+SUMPRODUCT(F10:I10,$F$4:$I$4)*5</f>
        <v>0</v>
      </c>
      <c r="L9" s="63"/>
      <c r="M9" s="54"/>
      <c r="N9" s="15"/>
    </row>
    <row r="10" spans="1:14">
      <c r="A10" s="34"/>
      <c r="B10" s="35"/>
      <c r="C10" s="34"/>
      <c r="D10" s="34"/>
      <c r="E10" s="24"/>
      <c r="F10" s="3"/>
      <c r="G10" s="3"/>
      <c r="H10" s="3"/>
      <c r="I10" s="3"/>
      <c r="J10" s="14"/>
      <c r="K10" s="41"/>
      <c r="L10" s="63"/>
      <c r="M10" s="54"/>
      <c r="N10" s="15"/>
    </row>
    <row r="11" spans="1:14" ht="216.75">
      <c r="A11" s="34"/>
      <c r="B11" s="35"/>
      <c r="C11" s="34"/>
      <c r="D11" s="34" t="s">
        <v>19</v>
      </c>
      <c r="E11" s="23" t="s">
        <v>35</v>
      </c>
      <c r="F11" s="3" t="s">
        <v>36</v>
      </c>
      <c r="G11" s="10" t="s">
        <v>37</v>
      </c>
      <c r="H11" s="10" t="s">
        <v>38</v>
      </c>
      <c r="I11" s="3" t="s">
        <v>39</v>
      </c>
      <c r="J11" s="9"/>
      <c r="K11" s="40">
        <f>+SUMPRODUCT(F12:I12,$F$4:$I$4)*5</f>
        <v>0</v>
      </c>
      <c r="L11" s="63"/>
      <c r="M11" s="54"/>
      <c r="N11" s="68"/>
    </row>
    <row r="12" spans="1:14">
      <c r="A12" s="34"/>
      <c r="B12" s="35"/>
      <c r="C12" s="34"/>
      <c r="D12" s="34"/>
      <c r="E12" s="24"/>
      <c r="F12" s="3"/>
      <c r="G12" s="3"/>
      <c r="H12" s="3"/>
      <c r="I12" s="3"/>
      <c r="J12" s="10"/>
      <c r="K12" s="41"/>
      <c r="L12" s="64"/>
      <c r="M12" s="55"/>
      <c r="N12" s="69"/>
    </row>
    <row r="13" spans="1:14" ht="229.5">
      <c r="A13" s="27">
        <v>2</v>
      </c>
      <c r="B13" s="29">
        <v>0.3</v>
      </c>
      <c r="C13" s="31" t="s">
        <v>40</v>
      </c>
      <c r="D13" s="32" t="s">
        <v>41</v>
      </c>
      <c r="E13" s="32" t="s">
        <v>42</v>
      </c>
      <c r="F13" s="5" t="s">
        <v>43</v>
      </c>
      <c r="G13" s="5" t="s">
        <v>44</v>
      </c>
      <c r="H13" s="5" t="s">
        <v>45</v>
      </c>
      <c r="I13" s="5" t="s">
        <v>46</v>
      </c>
      <c r="J13" s="32"/>
      <c r="K13" s="42">
        <f>+SUMPRODUCT(F14:I14,$F$4:$I$4)*5</f>
        <v>0</v>
      </c>
      <c r="L13" s="65" t="e">
        <f>+AVERAGE(I13:I16)</f>
        <v>#DIV/0!</v>
      </c>
      <c r="M13" s="56">
        <f>+AVERAGE(K13:K16)</f>
        <v>0</v>
      </c>
      <c r="N13" s="70"/>
    </row>
    <row r="14" spans="1:14">
      <c r="A14" s="28"/>
      <c r="B14" s="30"/>
      <c r="C14" s="31"/>
      <c r="D14" s="33"/>
      <c r="E14" s="33"/>
      <c r="F14" s="5"/>
      <c r="G14" s="5"/>
      <c r="H14" s="5"/>
      <c r="I14" s="5"/>
      <c r="J14" s="33"/>
      <c r="K14" s="43"/>
      <c r="L14" s="66"/>
      <c r="M14" s="57"/>
      <c r="N14" s="71"/>
    </row>
    <row r="15" spans="1:14" ht="114.75">
      <c r="A15" s="28"/>
      <c r="B15" s="30"/>
      <c r="C15" s="31"/>
      <c r="D15" s="32" t="s">
        <v>47</v>
      </c>
      <c r="E15" s="32" t="s">
        <v>48</v>
      </c>
      <c r="F15" s="5" t="s">
        <v>49</v>
      </c>
      <c r="G15" s="5" t="s">
        <v>50</v>
      </c>
      <c r="H15" s="5" t="s">
        <v>51</v>
      </c>
      <c r="I15" s="5" t="s">
        <v>52</v>
      </c>
      <c r="J15" s="32"/>
      <c r="K15" s="42">
        <f>+SUMPRODUCT(F16:I16,$F$4:$I$4)*5</f>
        <v>0</v>
      </c>
      <c r="L15" s="66"/>
      <c r="M15" s="57"/>
      <c r="N15" s="70"/>
    </row>
    <row r="16" spans="1:14">
      <c r="A16" s="28"/>
      <c r="B16" s="30"/>
      <c r="C16" s="31"/>
      <c r="D16" s="33"/>
      <c r="E16" s="33"/>
      <c r="F16" s="5"/>
      <c r="G16" s="5"/>
      <c r="H16" s="5"/>
      <c r="I16" s="5"/>
      <c r="J16" s="33"/>
      <c r="K16" s="43"/>
      <c r="L16" s="66"/>
      <c r="M16" s="57"/>
      <c r="N16" s="71"/>
    </row>
    <row r="17" spans="1:14" ht="51">
      <c r="A17" s="25">
        <v>3</v>
      </c>
      <c r="B17" s="26">
        <v>0.1</v>
      </c>
      <c r="C17" s="25" t="s">
        <v>53</v>
      </c>
      <c r="D17" s="17" t="s">
        <v>47</v>
      </c>
      <c r="E17" s="17" t="s">
        <v>54</v>
      </c>
      <c r="F17" s="4" t="s">
        <v>55</v>
      </c>
      <c r="G17" s="4" t="s">
        <v>56</v>
      </c>
      <c r="H17" s="4" t="s">
        <v>57</v>
      </c>
      <c r="I17" s="4" t="s">
        <v>58</v>
      </c>
      <c r="J17" s="4"/>
      <c r="K17" s="44">
        <f>+SUMPRODUCT(F18:I18,$F$4:$I$4)*5</f>
        <v>0</v>
      </c>
      <c r="L17" s="67" t="e">
        <f>+AVERAGE(I17:I20)</f>
        <v>#DIV/0!</v>
      </c>
      <c r="M17" s="58">
        <f>+AVERAGE(K17:K20)</f>
        <v>0</v>
      </c>
      <c r="N17" s="59"/>
    </row>
    <row r="18" spans="1:14">
      <c r="A18" s="25"/>
      <c r="B18" s="26"/>
      <c r="C18" s="25"/>
      <c r="D18" s="18"/>
      <c r="E18" s="18"/>
      <c r="F18" s="4"/>
      <c r="G18" s="4"/>
      <c r="H18" s="4"/>
      <c r="I18" s="4"/>
      <c r="J18" s="4"/>
      <c r="K18" s="45"/>
      <c r="L18" s="67"/>
      <c r="M18" s="58"/>
      <c r="N18" s="60"/>
    </row>
    <row r="19" spans="1:14" ht="63.75">
      <c r="A19" s="25"/>
      <c r="B19" s="26"/>
      <c r="C19" s="25"/>
      <c r="D19" s="17" t="s">
        <v>47</v>
      </c>
      <c r="E19" s="17" t="s">
        <v>59</v>
      </c>
      <c r="F19" s="4" t="s">
        <v>60</v>
      </c>
      <c r="G19" s="4" t="s">
        <v>61</v>
      </c>
      <c r="H19" s="4" t="s">
        <v>62</v>
      </c>
      <c r="I19" s="4" t="s">
        <v>63</v>
      </c>
      <c r="J19" s="4"/>
      <c r="K19" s="46">
        <f>+SUMPRODUCT(F20:I20,$F$4:$I$4)*5</f>
        <v>0</v>
      </c>
      <c r="L19" s="67"/>
      <c r="M19" s="58"/>
      <c r="N19" s="61"/>
    </row>
    <row r="20" spans="1:14">
      <c r="A20" s="25"/>
      <c r="B20" s="26"/>
      <c r="C20" s="25"/>
      <c r="D20" s="18"/>
      <c r="E20" s="18"/>
      <c r="F20" s="4"/>
      <c r="G20" s="4"/>
      <c r="H20" s="4"/>
      <c r="I20" s="4"/>
      <c r="J20" s="4"/>
      <c r="K20" s="46"/>
      <c r="L20" s="67"/>
      <c r="M20" s="58"/>
      <c r="N20" s="61"/>
    </row>
    <row r="21" spans="1:14" ht="15" customHeight="1" thickBot="1">
      <c r="B21" s="8">
        <f>+B17+B13+B5</f>
        <v>1</v>
      </c>
      <c r="C21" s="7" t="s">
        <v>64</v>
      </c>
    </row>
    <row r="22" spans="1:14" ht="15" customHeight="1">
      <c r="I22" s="37" t="s">
        <v>65</v>
      </c>
      <c r="J22" s="11"/>
      <c r="K22" s="11"/>
      <c r="L22" s="11"/>
      <c r="M22" s="47">
        <f>+M5*B5+M13*B13+M17*B17</f>
        <v>0</v>
      </c>
      <c r="N22" s="48"/>
    </row>
    <row r="23" spans="1:14" ht="14.1" customHeight="1">
      <c r="I23" s="38"/>
      <c r="J23" s="12"/>
      <c r="K23" s="12"/>
      <c r="L23" s="12"/>
      <c r="M23" s="49"/>
      <c r="N23" s="50"/>
    </row>
    <row r="24" spans="1:14" ht="15" customHeight="1" thickBot="1">
      <c r="I24" s="39"/>
      <c r="J24" s="13"/>
      <c r="K24" s="13"/>
      <c r="L24" s="13"/>
      <c r="M24" s="51"/>
      <c r="N24" s="52"/>
    </row>
    <row r="25" spans="1:14">
      <c r="B25" s="8"/>
    </row>
    <row r="26" spans="1:14">
      <c r="I26" s="16" t="s">
        <v>66</v>
      </c>
    </row>
  </sheetData>
  <mergeCells count="60">
    <mergeCell ref="L5:L12"/>
    <mergeCell ref="L13:L16"/>
    <mergeCell ref="L17:L20"/>
    <mergeCell ref="N5:N6"/>
    <mergeCell ref="N11:N12"/>
    <mergeCell ref="N13:N14"/>
    <mergeCell ref="N15:N16"/>
    <mergeCell ref="M22:N24"/>
    <mergeCell ref="M5:M12"/>
    <mergeCell ref="M13:M16"/>
    <mergeCell ref="M17:M20"/>
    <mergeCell ref="N17:N18"/>
    <mergeCell ref="N19:N20"/>
    <mergeCell ref="I22:I24"/>
    <mergeCell ref="K5:K6"/>
    <mergeCell ref="K13:K14"/>
    <mergeCell ref="K15:K16"/>
    <mergeCell ref="K17:K18"/>
    <mergeCell ref="K19:K20"/>
    <mergeCell ref="K11:K12"/>
    <mergeCell ref="J5:J6"/>
    <mergeCell ref="J13:J14"/>
    <mergeCell ref="J15:J16"/>
    <mergeCell ref="K7:K8"/>
    <mergeCell ref="K9:K10"/>
    <mergeCell ref="C1:C4"/>
    <mergeCell ref="D1:D4"/>
    <mergeCell ref="E1:E4"/>
    <mergeCell ref="N1:N4"/>
    <mergeCell ref="M1:M4"/>
    <mergeCell ref="K1:K4"/>
    <mergeCell ref="L1:L4"/>
    <mergeCell ref="J1:J4"/>
    <mergeCell ref="D15:D16"/>
    <mergeCell ref="E15:E16"/>
    <mergeCell ref="A5:A12"/>
    <mergeCell ref="B5:B12"/>
    <mergeCell ref="C5:C12"/>
    <mergeCell ref="D5:D6"/>
    <mergeCell ref="E5:E6"/>
    <mergeCell ref="D11:D12"/>
    <mergeCell ref="E11:E12"/>
    <mergeCell ref="D9:D10"/>
    <mergeCell ref="D7:D8"/>
    <mergeCell ref="E19:E20"/>
    <mergeCell ref="A1:A4"/>
    <mergeCell ref="B1:B4"/>
    <mergeCell ref="E7:E8"/>
    <mergeCell ref="E9:E10"/>
    <mergeCell ref="E17:E18"/>
    <mergeCell ref="A17:A20"/>
    <mergeCell ref="B17:B20"/>
    <mergeCell ref="C17:C20"/>
    <mergeCell ref="D17:D18"/>
    <mergeCell ref="D19:D20"/>
    <mergeCell ref="A13:A16"/>
    <mergeCell ref="B13:B16"/>
    <mergeCell ref="C13:C16"/>
    <mergeCell ref="D13:D14"/>
    <mergeCell ref="E13:E14"/>
  </mergeCells>
  <pageMargins left="0.7" right="0.7" top="0.75" bottom="0.75" header="0.3" footer="0.3"/>
  <pageSetup orientation="portrait" r:id="rId1"/>
  <ignoredErrors>
    <ignoredError sqref="M22" evalError="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8168730EC5B04DBD67E76DC497E257" ma:contentTypeVersion="11" ma:contentTypeDescription="Create a new document." ma:contentTypeScope="" ma:versionID="64f7310e628458681f8d01e65b6cf26a">
  <xsd:schema xmlns:xsd="http://www.w3.org/2001/XMLSchema" xmlns:xs="http://www.w3.org/2001/XMLSchema" xmlns:p="http://schemas.microsoft.com/office/2006/metadata/properties" xmlns:ns2="f992bee3-1c17-4af9-ad7c-7228630306db" xmlns:ns3="795ba234-404c-40a6-b23a-caf6019076da" targetNamespace="http://schemas.microsoft.com/office/2006/metadata/properties" ma:root="true" ma:fieldsID="860b5b02d1e8ce283a38a7500aee9965" ns2:_="" ns3:_="">
    <xsd:import namespace="f992bee3-1c17-4af9-ad7c-7228630306db"/>
    <xsd:import namespace="795ba234-404c-40a6-b23a-caf6019076da"/>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92bee3-1c17-4af9-ad7c-7228630306db"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3c0cd0c-c90a-4e91-8fc7-b7b215ba5ee3"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95ba234-404c-40a6-b23a-caf6019076d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7e74cd4-1111-4a49-befb-40c24b767940}" ma:internalName="TaxCatchAll" ma:showField="CatchAllData" ma:web="795ba234-404c-40a6-b23a-caf6019076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992bee3-1c17-4af9-ad7c-7228630306db">
      <Terms xmlns="http://schemas.microsoft.com/office/infopath/2007/PartnerControls"/>
    </lcf76f155ced4ddcb4097134ff3c332f>
    <ReferenceId xmlns="f992bee3-1c17-4af9-ad7c-7228630306db" xsi:nil="true"/>
    <TaxCatchAll xmlns="795ba234-404c-40a6-b23a-caf6019076da" xsi:nil="true"/>
  </documentManagement>
</p:properties>
</file>

<file path=customXml/itemProps1.xml><?xml version="1.0" encoding="utf-8"?>
<ds:datastoreItem xmlns:ds="http://schemas.openxmlformats.org/officeDocument/2006/customXml" ds:itemID="{79558A1B-8B0C-43DC-923E-3F3CEADDC56E}"/>
</file>

<file path=customXml/itemProps2.xml><?xml version="1.0" encoding="utf-8"?>
<ds:datastoreItem xmlns:ds="http://schemas.openxmlformats.org/officeDocument/2006/customXml" ds:itemID="{906E14F8-CCAD-4052-90F3-2F8E60EFBEE1}"/>
</file>

<file path=customXml/itemProps3.xml><?xml version="1.0" encoding="utf-8"?>
<ds:datastoreItem xmlns:ds="http://schemas.openxmlformats.org/officeDocument/2006/customXml" ds:itemID="{666A5BC2-1B14-40F5-8634-11132CB16C7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Nestor Eduardo Sanchez Ramirez</dc:creator>
  <cp:keywords/>
  <dc:description/>
  <cp:lastModifiedBy>Juan Manuel Aranda Lopez King</cp:lastModifiedBy>
  <cp:revision/>
  <dcterms:created xsi:type="dcterms:W3CDTF">2023-01-30T20:00:13Z</dcterms:created>
  <dcterms:modified xsi:type="dcterms:W3CDTF">2026-03-17T16:27:44Z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0x010100C78168730EC5B04DBD67E76DC497E257</vt:lpwstr>
  </property>
  <property fmtid="{D5CDD505-2E9C-101B-9397-08002B2CF9AE}" pid="3" name="MediaServiceImageTags">
    <vt:lpwstr/>
  </property>
  <property fmtid="{D5CDD505-2E9C-101B-9397-08002B2CF9AE}" pid="4" name="Order">
    <vt:r8>2500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